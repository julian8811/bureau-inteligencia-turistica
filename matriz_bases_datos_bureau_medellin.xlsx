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Bases de Datos" sheetId="1" state="visible" r:id="rId1"/>
    <sheet xmlns:r="http://schemas.openxmlformats.org/officeDocument/2006/relationships" name="Guía de uso" sheetId="2" state="visible" r:id="rId2"/>
    <sheet xmlns:r="http://schemas.openxmlformats.org/officeDocument/2006/relationships" name="Plan Dashboard" sheetId="3" state="visible" r:id="rId3"/>
  </sheets>
  <definedNames>
    <definedName name="_xlnm._FilterDatabase" localSheetId="0" hidden="1">'Matriz Bases de Datos'!$A$3:$H$34</definedName>
    <definedName name="_xlnm._FilterDatabase" localSheetId="2" hidden="1">'Plan Dashboard'!$A$3:$H$33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A44"/>
      <sz val="14"/>
    </font>
    <font>
      <name val="Calibri"/>
      <color rgb="005A6C7D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F2F6F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aldata.com/" TargetMode="External" Id="rId1"/><Relationship Type="http://schemas.openxmlformats.org/officeDocument/2006/relationships/hyperlink" Target="https://www.globaldata.com/industries/travel-and-tourism/" TargetMode="External" Id="rId2"/><Relationship Type="http://schemas.openxmlformats.org/officeDocument/2006/relationships/hyperlink" Target="https://www.globaldata.com/store/industry/travel-and-tourism-market" TargetMode="External" Id="rId3"/><Relationship Type="http://schemas.openxmlformats.org/officeDocument/2006/relationships/hyperlink" Target="https://amadeus.com/es/agencias-viajes/productos/travel-booking-data" TargetMode="External" Id="rId4"/><Relationship Type="http://schemas.openxmlformats.org/officeDocument/2006/relationships/hyperlink" Target="https://developers.amadeus.com/" TargetMode="External" Id="rId5"/><Relationship Type="http://schemas.openxmlformats.org/officeDocument/2006/relationships/hyperlink" Target="https://brand24.com/ai-insights/" TargetMode="External" Id="rId6"/><Relationship Type="http://schemas.openxmlformats.org/officeDocument/2006/relationships/hyperlink" Target="https://brand24.com/prices/" TargetMode="External" Id="rId7"/><Relationship Type="http://schemas.openxmlformats.org/officeDocument/2006/relationships/hyperlink" Target="https://www.unwto.org/tourism-data/un-tourism-tourism-dashboard" TargetMode="External" Id="rId8"/><Relationship Type="http://schemas.openxmlformats.org/officeDocument/2006/relationships/hyperlink" Target="https://www.unwto.org/un-tourism-world-tourism-barometer-data" TargetMode="External" Id="rId9"/><Relationship Type="http://schemas.openxmlformats.org/officeDocument/2006/relationships/hyperlink" Target="https://ec.europa.eu/eurostat/statistics-explained/index.php?title=Tourism_statistics" TargetMode="External" Id="rId10"/><Relationship Type="http://schemas.openxmlformats.org/officeDocument/2006/relationships/hyperlink" Target="https://wttc.org/research/economic-impact" TargetMode="External" Id="rId11"/><Relationship Type="http://schemas.openxmlformats.org/officeDocument/2006/relationships/hyperlink" Target="https://www.oecd.org/en/publications/oecd-tourism-trends-and-policies-2024_80885d8b-en.html" TargetMode="External" Id="rId12"/><Relationship Type="http://schemas.openxmlformats.org/officeDocument/2006/relationships/hyperlink" Target="https://www.migracioncolombia.gov.co/" TargetMode="External" Id="rId13"/><Relationship Type="http://schemas.openxmlformats.org/officeDocument/2006/relationships/hyperlink" Target="https://www.citur.gov.co/" TargetMode="External" Id="rId14"/><Relationship Type="http://schemas.openxmlformats.org/officeDocument/2006/relationships/hyperlink" Target="https://www.siturantioquia.com / https://www.medellin.travel/" TargetMode="External" Id="rId15"/><Relationship Type="http://schemas.openxmlformats.org/officeDocument/2006/relationships/hyperlink" Target="https://www.dane.gov.co/index.php/estadisticas-por-tema/servicios/turismo" TargetMode="External" Id="rId16"/><Relationship Type="http://schemas.openxmlformats.org/officeDocument/2006/relationships/hyperlink" Target="https://www.aerocivil.gov.co/" TargetMode="External" Id="rId17"/><Relationship Type="http://schemas.openxmlformats.org/officeDocument/2006/relationships/hyperlink" Target="https://www.aeropuertorionegro.co/rutas" TargetMode="External" Id="rId18"/><Relationship Type="http://schemas.openxmlformats.org/officeDocument/2006/relationships/hyperlink" Target="https://www.aeropuertomedellin.co/rutas" TargetMode="External" Id="rId19"/><Relationship Type="http://schemas.openxmlformats.org/officeDocument/2006/relationships/hyperlink" Target="https://trends.google.com/" TargetMode="External" Id="rId20"/><Relationship Type="http://schemas.openxmlformats.org/officeDocument/2006/relationships/hyperlink" Target="https://destinationinsights.withgoogle.com/" TargetMode="External" Id="rId21"/><Relationship Type="http://schemas.openxmlformats.org/officeDocument/2006/relationships/hyperlink" Target="https://ads.tiktok.com/business/creativecenter/inspiration/topads/" TargetMode="External" Id="rId22"/><Relationship Type="http://schemas.openxmlformats.org/officeDocument/2006/relationships/hyperlink" Target="https://www.google.com/alerts" TargetMode="External" Id="rId23"/><Relationship Type="http://schemas.openxmlformats.org/officeDocument/2006/relationships/hyperlink" Target="https://www.talkwalker.com/alerts" TargetMode="External" Id="rId24"/><Relationship Type="http://schemas.openxmlformats.org/officeDocument/2006/relationships/hyperlink" Target="https://www.social-searcher.com/" TargetMode="External" Id="rId25"/><Relationship Type="http://schemas.openxmlformats.org/officeDocument/2006/relationships/hyperlink" Target="https://www.facebook.com/ads/library/" TargetMode="External" Id="rId26"/><Relationship Type="http://schemas.openxmlformats.org/officeDocument/2006/relationships/hyperlink" Target="https://www.iccaworld.org/" TargetMode="External" Id="rId27"/><Relationship Type="http://schemas.openxmlformats.org/officeDocument/2006/relationships/hyperlink" Target="https://www.cvent.com/venues/" TargetMode="External" Id="rId28"/><Relationship Type="http://schemas.openxmlformats.org/officeDocument/2006/relationships/hyperlink" Target="https://www.medellin.travel/" TargetMode="External" Id="rId29"/><Relationship Type="http://schemas.openxmlformats.org/officeDocument/2006/relationships/hyperlink" Target="https://www.visitmedellin.co/" TargetMode="External" Id="rId30"/><Relationship Type="http://schemas.openxmlformats.org/officeDocument/2006/relationships/hyperlink" Target="Interno - RFP / eventos / miembros / aporte Wompi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45" customWidth="1" min="4" max="4"/>
    <col width="20" customWidth="1" min="5" max="5"/>
    <col width="45" customWidth="1" min="6" max="6"/>
    <col width="55" customWidth="1" min="7" max="7"/>
    <col width="22" customWidth="1" min="8" max="8"/>
  </cols>
  <sheetData>
    <row r="1" ht="28" customHeight="1">
      <c r="A1" s="1" t="inlineStr">
        <is>
          <t>Matriz de Bases de Datos — Greater Medellín Bureau (MICE + Vacacional + Marca Ciudad)</t>
        </is>
      </c>
    </row>
    <row r="2" ht="18" customHeight="1">
      <c r="A2" s="2" t="inlineStr">
        <is>
          <t>Fuentes privadas + oficiales gratuitas actualizadas | Acceso directo + dato que aporta + análisis posible | Generado 27-oct-2026</t>
        </is>
      </c>
    </row>
    <row r="3" ht="36" customHeight="1">
      <c r="A3" s="3" t="inlineStr">
        <is>
          <t>#</t>
        </is>
      </c>
      <c r="B3" s="3" t="inlineStr">
        <is>
          <t>Base de datos</t>
        </is>
      </c>
      <c r="C3" s="3" t="inlineStr">
        <is>
          <t>Tipo</t>
        </is>
      </c>
      <c r="D3" s="3" t="inlineStr">
        <is>
          <t>Acceso directo a la base (URL)</t>
        </is>
      </c>
      <c r="E3" s="3" t="inlineStr">
        <is>
          <t>Costo / Acceso</t>
        </is>
      </c>
      <c r="F3" s="3" t="inlineStr">
        <is>
          <t>Dato que aporta</t>
        </is>
      </c>
      <c r="G3" s="3" t="inlineStr">
        <is>
          <t>Qué análisis permite para Bureau Medellín</t>
        </is>
      </c>
      <c r="H3" s="3" t="inlineStr">
        <is>
          <t>Frecuencia actualización</t>
        </is>
      </c>
    </row>
    <row r="4" ht="42" customHeight="1">
      <c r="A4" s="4" t="n">
        <v>1</v>
      </c>
      <c r="B4" s="4" t="inlineStr">
        <is>
          <t>GlobalData - Plataforma</t>
        </is>
      </c>
      <c r="C4" s="4" t="inlineStr">
        <is>
          <t>Inteligencia privada</t>
        </is>
      </c>
      <c r="D4" s="5" t="inlineStr">
        <is>
          <t>https://www.globaldata.com/</t>
        </is>
      </c>
      <c r="E4" s="4" t="inlineStr">
        <is>
          <t>Suscripción enterprise / Demo</t>
        </is>
      </c>
      <c r="F4" s="4" t="inlineStr">
        <is>
          <t>Datasets propietarios, forecasts, market share por sector</t>
        </is>
      </c>
      <c r="G4" s="4" t="inlineStr">
        <is>
          <t>Benchmark MICE Latam, tendencias globales para justificar postulación de eventos</t>
        </is>
      </c>
      <c r="H4" s="4" t="inlineStr">
        <is>
          <t>Diaria (plataforma)</t>
        </is>
      </c>
    </row>
    <row r="5" ht="42" customHeight="1">
      <c r="A5" s="6" t="n">
        <v>2</v>
      </c>
      <c r="B5" s="6" t="inlineStr">
        <is>
          <t>GlobalData Travel &amp; Tourism</t>
        </is>
      </c>
      <c r="C5" s="6" t="inlineStr">
        <is>
          <t>Inteligencia privada vertical</t>
        </is>
      </c>
      <c r="D5" s="7" t="inlineStr">
        <is>
          <t>https://www.globaldata.com/industries/travel-and-tourism/</t>
        </is>
      </c>
      <c r="E5" s="6" t="inlineStr">
        <is>
          <t>Suscripción / Reporte unitario</t>
        </is>
      </c>
      <c r="F5" s="6" t="inlineStr">
        <is>
          <t>290+ datasets turismo, city indicators, proyectos construcción turística</t>
        </is>
      </c>
      <c r="G5" s="6" t="inlineStr">
        <is>
          <t>Dimensionar mercado emisor, gasto viajero, pipeline hotelero/entretenimiento Medellín vs región</t>
        </is>
      </c>
      <c r="H5" s="6" t="inlineStr">
        <is>
          <t>Mensual</t>
        </is>
      </c>
    </row>
    <row r="6" ht="42" customHeight="1">
      <c r="A6" s="4" t="n">
        <v>3</v>
      </c>
      <c r="B6" s="4" t="inlineStr">
        <is>
          <t>GlobalData Store - Travel &amp; Tourism</t>
        </is>
      </c>
      <c r="C6" s="4" t="inlineStr">
        <is>
          <t>Tienda reportes</t>
        </is>
      </c>
      <c r="D6" s="5" t="inlineStr">
        <is>
          <t>https://www.globaldata.com/store/industry/travel-and-tourism-market</t>
        </is>
      </c>
      <c r="E6" s="4" t="inlineStr">
        <is>
          <t>Pago por reporte USD 995-4950</t>
        </is>
      </c>
      <c r="F6" s="4" t="inlineStr">
        <is>
          <t>Reportes Destinations, Lodging, Niche Tourism, Passenger Transport, Travel Services</t>
        </is>
      </c>
      <c r="G6" s="4" t="inlineStr">
        <is>
          <t>Compra quirúrgica: 1 reporte para candidatura ICCA o plan vacacional anual</t>
        </is>
      </c>
      <c r="H6" s="4" t="inlineStr">
        <is>
          <t>Por reporte</t>
        </is>
      </c>
    </row>
    <row r="7" ht="42" customHeight="1">
      <c r="A7" s="6" t="n">
        <v>4</v>
      </c>
      <c r="B7" s="6" t="inlineStr">
        <is>
          <t>Amadeus Booking Data Feed</t>
        </is>
      </c>
      <c r="C7" s="6" t="inlineStr">
        <is>
          <t>Feed PNR enterprise</t>
        </is>
      </c>
      <c r="D7" s="7" t="inlineStr">
        <is>
          <t>https://amadeus.com/es/agencias-viajes/productos/travel-booking-data</t>
        </is>
      </c>
      <c r="E7" s="6" t="inlineStr">
        <is>
          <t>Enterprise - Contacto ventas</t>
        </is>
      </c>
      <c r="F7" s="6" t="inlineStr">
        <is>
          <t>PNR reservas, tendencias, forecasts ventas, reglas por ruta (EDIFACT/XML)</t>
        </is>
      </c>
      <c r="G7" s="6" t="inlineStr">
        <is>
          <t>Análisis de reservas reales, previsión demanda aérea hacia MDE, reducción no-shows</t>
        </is>
      </c>
      <c r="H7" s="6" t="inlineStr">
        <is>
          <t>Tiempo real / lotes</t>
        </is>
      </c>
    </row>
    <row r="8" ht="42" customHeight="1">
      <c r="A8" s="4" t="n">
        <v>5</v>
      </c>
      <c r="B8" s="4" t="inlineStr">
        <is>
          <t>Amadeus for Developers</t>
        </is>
      </c>
      <c r="C8" s="4" t="inlineStr">
        <is>
          <t>API developers</t>
        </is>
      </c>
      <c r="D8" s="5" t="inlineStr">
        <is>
          <t>https://developers.amadeus.com/</t>
        </is>
      </c>
      <c r="E8" s="4" t="inlineStr">
        <is>
          <t>Freemium - cuota free test</t>
        </is>
      </c>
      <c r="F8" s="4" t="inlineStr">
        <is>
          <t>Flight Offers, Hotel Search, POIs, Airport Nearby, Flight Price Analysis</t>
        </is>
      </c>
      <c r="G8" s="4" t="inlineStr">
        <is>
          <t>Prototipar tracker demanda viva MDE, disponibilidad/precios para campañas</t>
        </is>
      </c>
      <c r="H8" s="4" t="inlineStr">
        <is>
          <t>Tiempo real (test)</t>
        </is>
      </c>
    </row>
    <row r="9" ht="42" customHeight="1">
      <c r="A9" s="6" t="n">
        <v>6</v>
      </c>
      <c r="B9" s="6" t="inlineStr">
        <is>
          <t>Brand24 AI Insights</t>
        </is>
      </c>
      <c r="C9" s="6" t="inlineStr">
        <is>
          <t>Social listening IA</t>
        </is>
      </c>
      <c r="D9" s="7" t="inlineStr">
        <is>
          <t>https://brand24.com/ai-insights/</t>
        </is>
      </c>
      <c r="E9" s="6" t="inlineStr">
        <is>
          <t>Trial 14 días / desde USD 199/mes</t>
        </is>
      </c>
      <c r="F9" s="6" t="inlineStr">
        <is>
          <t>Menciones 25M fuentes, sentimiento, reach, trends, reportes semanales IA</t>
        </is>
      </c>
      <c r="G9" s="6" t="inlineStr">
        <is>
          <t>Reputación destino, crisis, share of voice Medellín vs Bogotá/Cartagena, evaluación Feria Flores/Ritvales</t>
        </is>
      </c>
      <c r="H9" s="6" t="inlineStr">
        <is>
          <t>Tiempo real / semanal</t>
        </is>
      </c>
    </row>
    <row r="10" ht="42" customHeight="1">
      <c r="A10" s="4" t="n">
        <v>7</v>
      </c>
      <c r="B10" s="4" t="inlineStr">
        <is>
          <t>Brand24 Pricing / Trial</t>
        </is>
      </c>
      <c r="C10" s="4" t="inlineStr">
        <is>
          <t>Acceso comercial</t>
        </is>
      </c>
      <c r="D10" s="5" t="inlineStr">
        <is>
          <t>https://brand24.com/prices/</t>
        </is>
      </c>
      <c r="E10" s="4" t="inlineStr">
        <is>
          <t>Trial sin tarjeta</t>
        </is>
      </c>
      <c r="F10" s="4" t="inlineStr">
        <is>
          <t>Detalle planes y límites keywords/menciones</t>
        </is>
      </c>
      <c r="G10" s="4" t="inlineStr">
        <is>
          <t>Decidir uso puntual vs suscripción para Bureau</t>
        </is>
      </c>
      <c r="H10" s="4" t="inlineStr">
        <is>
          <t>-</t>
        </is>
      </c>
    </row>
    <row r="11" ht="42" customHeight="1">
      <c r="A11" s="6" t="n">
        <v>8</v>
      </c>
      <c r="B11" s="6" t="inlineStr">
        <is>
          <t>UN Tourism Data Dashboard</t>
        </is>
      </c>
      <c r="C11" s="6" t="inlineStr">
        <is>
          <t>Oficial global gratis</t>
        </is>
      </c>
      <c r="D11" s="7" t="inlineStr">
        <is>
          <t>https://www.unwto.org/tourism-data/un-tourism-tourism-dashboard</t>
        </is>
      </c>
      <c r="E11" s="6" t="inlineStr">
        <is>
          <t>Gratis</t>
        </is>
      </c>
      <c r="F11" s="6" t="inlineStr">
        <is>
          <t>Llegadas, ingresos, exportaciones, estacionalidad, PIB, aéreo, ocupación, STR, sentiment</t>
        </is>
      </c>
      <c r="G11" s="6" t="inlineStr">
        <is>
          <t>Benchmark Medellín/Colombia vs mundo, informes gestión, postulación eventos</t>
        </is>
      </c>
      <c r="H11" s="6" t="inlineStr">
        <is>
          <t>Mensual / anual</t>
        </is>
      </c>
    </row>
    <row r="12" ht="42" customHeight="1">
      <c r="A12" s="4" t="n">
        <v>9</v>
      </c>
      <c r="B12" s="4" t="inlineStr">
        <is>
          <t>UN Tourism Barometer</t>
        </is>
      </c>
      <c r="C12" s="4" t="inlineStr">
        <is>
          <t>Oficial global gratis</t>
        </is>
      </c>
      <c r="D12" s="5" t="inlineStr">
        <is>
          <t>https://www.unwto.org/un-tourism-world-tourism-barometer-data</t>
        </is>
      </c>
      <c r="E12" s="4" t="inlineStr">
        <is>
          <t>Gratis</t>
        </is>
      </c>
      <c r="F12" s="4" t="inlineStr">
        <is>
          <t>Performance turismo mundial por región, confianza destinos</t>
        </is>
      </c>
      <c r="G12" s="4" t="inlineStr">
        <is>
          <t>Contexto global para plan estratégico y Marca Ciudad</t>
        </is>
      </c>
      <c r="H12" s="4" t="inlineStr">
        <is>
          <t>Trimestral</t>
        </is>
      </c>
    </row>
    <row r="13" ht="42" customHeight="1">
      <c r="A13" s="6" t="n">
        <v>10</v>
      </c>
      <c r="B13" s="6" t="inlineStr">
        <is>
          <t>Eurostat Tourism</t>
        </is>
      </c>
      <c r="C13" s="6" t="inlineStr">
        <is>
          <t>Oficial regional gratis</t>
        </is>
      </c>
      <c r="D13" s="7" t="inlineStr">
        <is>
          <t>https://ec.europa.eu/eurostat/statistics-explained/index.php?title=Tourism_statistics</t>
        </is>
      </c>
      <c r="E13" s="6" t="inlineStr">
        <is>
          <t>Gratis</t>
        </is>
      </c>
      <c r="F13" s="6" t="inlineStr">
        <is>
          <t>Llegadas, pernoctaciones, ocupación, gasto intra-EU</t>
        </is>
      </c>
      <c r="G13" s="6" t="inlineStr">
        <is>
          <t>Entender mercado emisor europeo hacia Medellín</t>
        </is>
      </c>
      <c r="H13" s="6" t="inlineStr">
        <is>
          <t>Mensual</t>
        </is>
      </c>
    </row>
    <row r="14" ht="42" customHeight="1">
      <c r="A14" s="4" t="n">
        <v>11</v>
      </c>
      <c r="B14" s="4" t="inlineStr">
        <is>
          <t>WTTC Economic Impact</t>
        </is>
      </c>
      <c r="C14" s="4" t="inlineStr">
        <is>
          <t>Oficial global gratis</t>
        </is>
      </c>
      <c r="D14" s="5" t="inlineStr">
        <is>
          <t>https://wttc.org/research/economic-impact</t>
        </is>
      </c>
      <c r="E14" s="4" t="inlineStr">
        <is>
          <t>Gratis PDFs + datos</t>
        </is>
      </c>
      <c r="F14" s="4" t="inlineStr">
        <is>
          <t>Impacto PIB/empleo por país/ciudad</t>
        </is>
      </c>
      <c r="G14" s="4" t="inlineStr">
        <is>
          <t>Cuantificar derrama y empleo para justificar inversión pública</t>
        </is>
      </c>
      <c r="H14" s="4" t="inlineStr">
        <is>
          <t>Anual</t>
        </is>
      </c>
    </row>
    <row r="15" ht="42" customHeight="1">
      <c r="A15" s="6" t="n">
        <v>12</v>
      </c>
      <c r="B15" s="6" t="inlineStr">
        <is>
          <t>OECD Tourism Trends</t>
        </is>
      </c>
      <c r="C15" s="6" t="inlineStr">
        <is>
          <t>Oficial gratis</t>
        </is>
      </c>
      <c r="D15" s="7" t="inlineStr">
        <is>
          <t>https://www.oecd.org/en/publications/oecd-tourism-trends-and-policies-2024_80885d8b-en.html</t>
        </is>
      </c>
      <c r="E15" s="6" t="inlineStr">
        <is>
          <t>Gratis</t>
        </is>
      </c>
      <c r="F15" s="6" t="inlineStr">
        <is>
          <t>Políticas, competitividad, sostenibilidad destinos</t>
        </is>
      </c>
      <c r="G15" s="6" t="inlineStr">
        <is>
          <t>Comparar gobernanza Bureau vs DMO top</t>
        </is>
      </c>
      <c r="H15" s="6" t="inlineStr">
        <is>
          <t>Bienal</t>
        </is>
      </c>
    </row>
    <row r="16" ht="42" customHeight="1">
      <c r="A16" s="4" t="n">
        <v>13</v>
      </c>
      <c r="B16" s="4" t="inlineStr">
        <is>
          <t>Migración Colombia - Flujos</t>
        </is>
      </c>
      <c r="C16" s="4" t="inlineStr">
        <is>
          <t>Oficial Colombia gratis</t>
        </is>
      </c>
      <c r="D16" s="5" t="inlineStr">
        <is>
          <t>https://www.migracioncolombia.gov.co/</t>
        </is>
      </c>
      <c r="E16" s="4" t="inlineStr">
        <is>
          <t>Gratis</t>
        </is>
      </c>
      <c r="F16" s="4" t="inlineStr">
        <is>
          <t>Entradas extranjeros por nacionalidad, puerto, motivo</t>
        </is>
      </c>
      <c r="G16" s="4" t="inlineStr">
        <is>
          <t>Mercados priorizados, origen real que llega a MDE</t>
        </is>
      </c>
      <c r="H16" s="4" t="inlineStr">
        <is>
          <t>Mensual</t>
        </is>
      </c>
    </row>
    <row r="17" ht="42" customHeight="1">
      <c r="A17" s="6" t="n">
        <v>14</v>
      </c>
      <c r="B17" s="6" t="inlineStr">
        <is>
          <t>CITUR - MinCIT</t>
        </is>
      </c>
      <c r="C17" s="6" t="inlineStr">
        <is>
          <t>Oficial Colombia gratis</t>
        </is>
      </c>
      <c r="D17" s="7" t="inlineStr">
        <is>
          <t>https://www.citur.gov.co/</t>
        </is>
      </c>
      <c r="E17" s="6" t="inlineStr">
        <is>
          <t>Gratis</t>
        </is>
      </c>
      <c r="F17" s="6" t="inlineStr">
        <is>
          <t>Llegadas, ocupación, conectividad, empleo turismo</t>
        </is>
      </c>
      <c r="G17" s="6" t="inlineStr">
        <is>
          <t>Base oficial para informes y convenios Alcaldía/Gobernación</t>
        </is>
      </c>
      <c r="H17" s="6" t="inlineStr">
        <is>
          <t>Mensual</t>
        </is>
      </c>
    </row>
    <row r="18" ht="42" customHeight="1">
      <c r="A18" s="4" t="n">
        <v>15</v>
      </c>
      <c r="B18" s="4" t="inlineStr">
        <is>
          <t>SITUR Antioquia</t>
        </is>
      </c>
      <c r="C18" s="4" t="inlineStr">
        <is>
          <t>Oficial regional gratis</t>
        </is>
      </c>
      <c r="D18" s="5" t="inlineStr">
        <is>
          <t>https://www.siturantioquia.com / https://www.medellin.travel/</t>
        </is>
      </c>
      <c r="E18" s="4" t="inlineStr">
        <is>
          <t>Gratis</t>
        </is>
      </c>
      <c r="F18" s="4" t="inlineStr">
        <is>
          <t>Encuestas gasto, estadía, perfil, ocupación Medellín-Antioquia</t>
        </is>
      </c>
      <c r="G18" s="4" t="inlineStr">
        <is>
          <t>Perfil vacacional/MICE, gasto por rubro, NPS, productos moda/cultura/natura/gastro</t>
        </is>
      </c>
      <c r="H18" s="4" t="inlineStr">
        <is>
          <t>Mensual</t>
        </is>
      </c>
    </row>
    <row r="19" ht="42" customHeight="1">
      <c r="A19" s="6" t="n">
        <v>16</v>
      </c>
      <c r="B19" s="6" t="inlineStr">
        <is>
          <t>DANE - EGT / MMH</t>
        </is>
      </c>
      <c r="C19" s="6" t="inlineStr">
        <is>
          <t>Oficial Colombia gratis</t>
        </is>
      </c>
      <c r="D19" s="7" t="inlineStr">
        <is>
          <t>https://www.dane.gov.co/index.php/estadisticas-por-tema/servicios/turismo</t>
        </is>
      </c>
      <c r="E19" s="6" t="inlineStr">
        <is>
          <t>Gratis</t>
        </is>
      </c>
      <c r="F19" s="6" t="inlineStr">
        <is>
          <t>Encuesta gasto turismo interno + muestra mensual hoteles</t>
        </is>
      </c>
      <c r="G19" s="6" t="inlineStr">
        <is>
          <t>Turismo nacional hacia Medellín, ADR/Occ desde lado oficial</t>
        </is>
      </c>
      <c r="H19" s="6" t="inlineStr">
        <is>
          <t>Mensual / trimestral</t>
        </is>
      </c>
    </row>
    <row r="20" ht="42" customHeight="1">
      <c r="A20" s="4" t="n">
        <v>17</v>
      </c>
      <c r="B20" s="4" t="inlineStr">
        <is>
          <t>Aerocivil - Estadísticas</t>
        </is>
      </c>
      <c r="C20" s="4" t="inlineStr">
        <is>
          <t>Oficial aéreo gratis</t>
        </is>
      </c>
      <c r="D20" s="5" t="inlineStr">
        <is>
          <t>https://www.aerocivil.gov.co/</t>
        </is>
      </c>
      <c r="E20" s="4" t="inlineStr">
        <is>
          <t>Gratis</t>
        </is>
      </c>
      <c r="F20" s="4" t="inlineStr">
        <is>
          <t>Tráfico pasajeros, rutas, frecuencias, load factor</t>
        </is>
      </c>
      <c r="G20" s="4" t="inlineStr">
        <is>
          <t>Pelar nuevas rutas MDE, correlación sillas vs eventos</t>
        </is>
      </c>
      <c r="H20" s="4" t="inlineStr">
        <is>
          <t>Mensual</t>
        </is>
      </c>
    </row>
    <row r="21" ht="42" customHeight="1">
      <c r="A21" s="6" t="n">
        <v>18</v>
      </c>
      <c r="B21" s="6" t="inlineStr">
        <is>
          <t>Aeropuerto MDE Rutas</t>
        </is>
      </c>
      <c r="C21" s="6" t="inlineStr">
        <is>
          <t>Operador gratis</t>
        </is>
      </c>
      <c r="D21" s="7" t="inlineStr">
        <is>
          <t>https://www.aeropuertorionegro.co/rutas</t>
        </is>
      </c>
      <c r="E21" s="6" t="inlineStr">
        <is>
          <t>Gratis</t>
        </is>
      </c>
      <c r="F21" s="6" t="inlineStr">
        <is>
          <t>Rutas directas MDE</t>
        </is>
      </c>
      <c r="G21" s="6" t="inlineStr">
        <is>
          <t>Mapa conectividad para dossiers candidatura</t>
        </is>
      </c>
      <c r="H21" s="6" t="inlineStr">
        <is>
          <t>Permanente</t>
        </is>
      </c>
    </row>
    <row r="22" ht="42" customHeight="1">
      <c r="A22" s="4" t="n">
        <v>19</v>
      </c>
      <c r="B22" s="4" t="inlineStr">
        <is>
          <t>Aeropuerto EOH Rutas</t>
        </is>
      </c>
      <c r="C22" s="4" t="inlineStr">
        <is>
          <t>Operador gratis</t>
        </is>
      </c>
      <c r="D22" s="5" t="inlineStr">
        <is>
          <t>https://www.aeropuertomedellin.co/rutas</t>
        </is>
      </c>
      <c r="E22" s="4" t="inlineStr">
        <is>
          <t>Gratis</t>
        </is>
      </c>
      <c r="F22" s="4" t="inlineStr">
        <is>
          <t>Rutas regionales EOH</t>
        </is>
      </c>
      <c r="G22" s="4" t="inlineStr">
        <is>
          <t>Complemento conectividad nacional</t>
        </is>
      </c>
      <c r="H22" s="4" t="inlineStr">
        <is>
          <t>Permanente</t>
        </is>
      </c>
    </row>
    <row r="23" ht="42" customHeight="1">
      <c r="A23" s="6" t="n">
        <v>20</v>
      </c>
      <c r="B23" s="6" t="inlineStr">
        <is>
          <t>Google Trends</t>
        </is>
      </c>
      <c r="C23" s="6" t="inlineStr">
        <is>
          <t>Intención búsqueda gratis</t>
        </is>
      </c>
      <c r="D23" s="7" t="inlineStr">
        <is>
          <t>https://trends.google.com/</t>
        </is>
      </c>
      <c r="E23" s="6" t="inlineStr">
        <is>
          <t>Gratis</t>
        </is>
      </c>
      <c r="F23" s="6" t="inlineStr">
        <is>
          <t>Interés búsqueda por destino/origen/tema en tiempo real</t>
        </is>
      </c>
      <c r="G23" s="6" t="inlineStr">
        <is>
          <t>Proxy booking intent USA/España/México hacia Medellín, estacionalidad</t>
        </is>
      </c>
      <c r="H23" s="6" t="inlineStr">
        <is>
          <t>Tiempo real</t>
        </is>
      </c>
    </row>
    <row r="24" ht="42" customHeight="1">
      <c r="A24" s="4" t="n">
        <v>21</v>
      </c>
      <c r="B24" s="4" t="inlineStr">
        <is>
          <t>Destination Insights Google</t>
        </is>
      </c>
      <c r="C24" s="4" t="inlineStr">
        <is>
          <t>Demanda destino gratis</t>
        </is>
      </c>
      <c r="D24" s="5" t="inlineStr">
        <is>
          <t>https://destinationinsights.withgoogle.com/</t>
        </is>
      </c>
      <c r="E24" s="4" t="inlineStr">
        <is>
          <t>Gratis</t>
        </is>
      </c>
      <c r="F24" s="4" t="inlineStr">
        <is>
          <t>Demanda hotelera/vuelos por origen</t>
        </is>
      </c>
      <c r="G24" s="4" t="inlineStr">
        <is>
          <t>Priorizar mercados y fechas para pauta SEM</t>
        </is>
      </c>
      <c r="H24" s="4" t="inlineStr">
        <is>
          <t>Mensual aprox</t>
        </is>
      </c>
    </row>
    <row r="25" ht="42" customHeight="1">
      <c r="A25" s="6" t="n">
        <v>22</v>
      </c>
      <c r="B25" s="6" t="inlineStr">
        <is>
          <t>TikTok Creative Center</t>
        </is>
      </c>
      <c r="C25" s="6" t="inlineStr">
        <is>
          <t>Social trends gratis</t>
        </is>
      </c>
      <c r="D25" s="7" t="inlineStr">
        <is>
          <t>https://ads.tiktok.com/business/creativecenter/inspiration/topads/</t>
        </is>
      </c>
      <c r="E25" s="6" t="inlineStr">
        <is>
          <t>Gratis</t>
        </is>
      </c>
      <c r="F25" s="6" t="inlineStr">
        <is>
          <t>Top videos/ads y trends por destino</t>
        </is>
      </c>
      <c r="G25" s="6" t="inlineStr">
        <is>
          <t>Qué narrativa de Medellín tracciona en jóvenes</t>
        </is>
      </c>
      <c r="H25" s="6" t="inlineStr">
        <is>
          <t>Tiempo real</t>
        </is>
      </c>
    </row>
    <row r="26" ht="42" customHeight="1">
      <c r="A26" s="4" t="n">
        <v>23</v>
      </c>
      <c r="B26" s="4" t="inlineStr">
        <is>
          <t>Google Alerts</t>
        </is>
      </c>
      <c r="C26" s="4" t="inlineStr">
        <is>
          <t>Monitoreo gratis</t>
        </is>
      </c>
      <c r="D26" s="5" t="inlineStr">
        <is>
          <t>https://www.google.com/alerts</t>
        </is>
      </c>
      <c r="E26" s="4" t="inlineStr">
        <is>
          <t>Gratis</t>
        </is>
      </c>
      <c r="F26" s="4" t="inlineStr">
        <is>
          <t>Alertas news/blogs/foros por keyword</t>
        </is>
      </c>
      <c r="G26" s="4" t="inlineStr">
        <is>
          <t>Monitoreo básico marca Medellín, eventos, crisis</t>
        </is>
      </c>
      <c r="H26" s="4" t="inlineStr">
        <is>
          <t>Tiempo real</t>
        </is>
      </c>
    </row>
    <row r="27" ht="42" customHeight="1">
      <c r="A27" s="6" t="n">
        <v>24</v>
      </c>
      <c r="B27" s="6" t="inlineStr">
        <is>
          <t>Talkwalker Alerts</t>
        </is>
      </c>
      <c r="C27" s="6" t="inlineStr">
        <is>
          <t>Monitoreo gratis</t>
        </is>
      </c>
      <c r="D27" s="7" t="inlineStr">
        <is>
          <t>https://www.talkwalker.com/alerts</t>
        </is>
      </c>
      <c r="E27" s="6" t="inlineStr">
        <is>
          <t>Gratis</t>
        </is>
      </c>
      <c r="F27" s="6" t="inlineStr">
        <is>
          <t>Alertas web/social por keyword</t>
        </is>
      </c>
      <c r="G27" s="6" t="inlineStr">
        <is>
          <t>Complemento Brand24 sin costo</t>
        </is>
      </c>
      <c r="H27" s="6" t="inlineStr">
        <is>
          <t>Tiempo real</t>
        </is>
      </c>
    </row>
    <row r="28" ht="42" customHeight="1">
      <c r="A28" s="4" t="n">
        <v>25</v>
      </c>
      <c r="B28" s="4" t="inlineStr">
        <is>
          <t>Social Searcher</t>
        </is>
      </c>
      <c r="C28" s="4" t="inlineStr">
        <is>
          <t>Social search freemium</t>
        </is>
      </c>
      <c r="D28" s="5" t="inlineStr">
        <is>
          <t>https://www.social-searcher.com/</t>
        </is>
      </c>
      <c r="E28" s="4" t="inlineStr">
        <is>
          <t>Freemium limitado</t>
        </is>
      </c>
      <c r="F28" s="4" t="inlineStr">
        <is>
          <t>Búsqueda social viva limitada</t>
        </is>
      </c>
      <c r="G28" s="4" t="inlineStr">
        <is>
          <t>Escucha puntual sin pagar</t>
        </is>
      </c>
      <c r="H28" s="4" t="inlineStr">
        <is>
          <t>Tiempo real</t>
        </is>
      </c>
    </row>
    <row r="29" ht="42" customHeight="1">
      <c r="A29" s="6" t="n">
        <v>26</v>
      </c>
      <c r="B29" s="6" t="inlineStr">
        <is>
          <t>Meta Ad Library</t>
        </is>
      </c>
      <c r="C29" s="6" t="inlineStr">
        <is>
          <t>Transparencia ads gratis</t>
        </is>
      </c>
      <c r="D29" s="7" t="inlineStr">
        <is>
          <t>https://www.facebook.com/ads/library/</t>
        </is>
      </c>
      <c r="E29" s="6" t="inlineStr">
        <is>
          <t>Gratis</t>
        </is>
      </c>
      <c r="F29" s="6" t="inlineStr">
        <is>
          <t>Ads activos de destinos competidores</t>
        </is>
      </c>
      <c r="G29" s="6" t="inlineStr">
        <is>
          <t>Espiar creatividades Bogotá/Cartagena/Lima</t>
        </is>
      </c>
      <c r="H29" s="6" t="inlineStr">
        <is>
          <t>Tiempo real</t>
        </is>
      </c>
    </row>
    <row r="30" ht="42" customHeight="1">
      <c r="A30" s="4" t="n">
        <v>27</v>
      </c>
      <c r="B30" s="4" t="inlineStr">
        <is>
          <t>ICCA Statistics</t>
        </is>
      </c>
      <c r="C30" s="4" t="inlineStr">
        <is>
          <t>MICE global parcial free</t>
        </is>
      </c>
      <c r="D30" s="5" t="inlineStr">
        <is>
          <t>https://www.iccaworld.org/</t>
        </is>
      </c>
      <c r="E30" s="4" t="inlineStr">
        <is>
          <t>Rankings free / data full miembros</t>
        </is>
      </c>
      <c r="F30" s="4" t="inlineStr">
        <is>
          <t>Nº reuniones asociativas por ciudad/país, ranking mundial</t>
        </is>
      </c>
      <c r="G30" s="4" t="inlineStr">
        <is>
          <t>Posicionar Medellín MICE, elegir congresos rotativos a captar</t>
        </is>
      </c>
      <c r="H30" s="4" t="inlineStr">
        <is>
          <t>Anual</t>
        </is>
      </c>
    </row>
    <row r="31" ht="42" customHeight="1">
      <c r="A31" s="6" t="n">
        <v>28</v>
      </c>
      <c r="B31" s="6" t="inlineStr">
        <is>
          <t>Cvent Supplier Network</t>
        </is>
      </c>
      <c r="C31" s="6" t="inlineStr">
        <is>
          <t>Marketplace MICE free search</t>
        </is>
      </c>
      <c r="D31" s="7" t="inlineStr">
        <is>
          <t>https://www.cvent.com/venues/</t>
        </is>
      </c>
      <c r="E31" s="6" t="inlineStr">
        <is>
          <t>Búsqueda free</t>
        </is>
      </c>
      <c r="F31" s="6" t="inlineStr">
        <is>
          <t>Recintos, RFPs, planners activos</t>
        </is>
      </c>
      <c r="G31" s="6" t="inlineStr">
        <is>
          <t>Chequear competencia recintos Plaza Mayor vs región</t>
        </is>
      </c>
      <c r="H31" s="6" t="inlineStr">
        <is>
          <t>Permanente</t>
        </is>
      </c>
    </row>
    <row r="32" ht="42" customHeight="1">
      <c r="A32" s="4" t="n">
        <v>29</v>
      </c>
      <c r="B32" s="4" t="inlineStr">
        <is>
          <t>Medellín.Travel</t>
        </is>
      </c>
      <c r="C32" s="4" t="inlineStr">
        <is>
          <t>Ecosistema Bureau</t>
        </is>
      </c>
      <c r="D32" s="5" t="inlineStr">
        <is>
          <t>https://www.medellin.travel/</t>
        </is>
      </c>
      <c r="E32" s="4" t="inlineStr">
        <is>
          <t>Propio / gratis</t>
        </is>
      </c>
      <c r="F32" s="4" t="inlineStr">
        <is>
          <t>Contenido destino, comportamiento usuario web/app</t>
        </is>
      </c>
      <c r="G32" s="4" t="inlineStr">
        <is>
          <t>SEO/SEM performance, qué producto interesa antes del viaje</t>
        </is>
      </c>
      <c r="H32" s="4" t="inlineStr">
        <is>
          <t>Tiempo real (analytics)</t>
        </is>
      </c>
    </row>
    <row r="33" ht="42" customHeight="1">
      <c r="A33" s="6" t="n">
        <v>30</v>
      </c>
      <c r="B33" s="6" t="inlineStr">
        <is>
          <t>Visit Medellín</t>
        </is>
      </c>
      <c r="C33" s="6" t="inlineStr">
        <is>
          <t>Ecosistema transaccional</t>
        </is>
      </c>
      <c r="D33" s="7" t="inlineStr">
        <is>
          <t>https://www.visitmedellin.co/</t>
        </is>
      </c>
      <c r="E33" s="6" t="inlineStr">
        <is>
          <t>Propio / gratis</t>
        </is>
      </c>
      <c r="F33" s="6" t="inlineStr">
        <is>
          <t>Experiencias, aliados, planeación viaje</t>
        </is>
      </c>
      <c r="G33" s="6" t="inlineStr">
        <is>
          <t>Conversión a reserva, leads para miembros</t>
        </is>
      </c>
      <c r="H33" s="6" t="inlineStr">
        <is>
          <t>Tiempo real</t>
        </is>
      </c>
    </row>
    <row r="34" ht="42" customHeight="1">
      <c r="A34" s="4" t="n">
        <v>31</v>
      </c>
      <c r="B34" s="4" t="inlineStr">
        <is>
          <t>CRM Interno Bureau (propuesto)</t>
        </is>
      </c>
      <c r="C34" s="4" t="inlineStr">
        <is>
          <t>Dato propietario</t>
        </is>
      </c>
      <c r="D34" s="5" t="inlineStr">
        <is>
          <t>Interno - RFP / eventos / miembros / aporte Wompi</t>
        </is>
      </c>
      <c r="E34" s="4" t="inlineStr">
        <is>
          <t>Propio</t>
        </is>
      </c>
      <c r="F34" s="4" t="inlineStr">
        <is>
          <t>RFP ganados/perdidos, noches, derrama, legado, aporte voluntario</t>
        </is>
      </c>
      <c r="G34" s="4" t="inlineStr">
        <is>
          <t>El activo más valioso: win rate, impacto por evento, ROI miembros</t>
        </is>
      </c>
      <c r="H34" s="4" t="inlineStr">
        <is>
          <t>Por evento</t>
        </is>
      </c>
    </row>
  </sheetData>
  <autoFilter ref="A3:H34"/>
  <mergeCells count="2">
    <mergeCell ref="A2:H2"/>
    <mergeCell ref="A1:H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Cómo usar esta matriz</t>
        </is>
      </c>
    </row>
    <row r="3">
      <c r="A3" s="9" t="inlineStr">
        <is>
          <t>1. Columna D tiene links clicables directos a cada base.</t>
        </is>
      </c>
    </row>
    <row r="4">
      <c r="A4" s="9" t="inlineStr">
        <is>
          <t>2. Filtrá por Tipo: privada (paga) vs oficial gratis.</t>
        </is>
      </c>
    </row>
    <row r="5">
      <c r="A5" s="9" t="inlineStr">
        <is>
          <t>3. Priorizá para Bureau: filas 8,13,14,15,17 (demanda), 27-28 (MICE), 20-24 (escucha gratis), 31 (CRM interno = activo más valioso).</t>
        </is>
      </c>
    </row>
    <row r="6">
      <c r="A6" s="9" t="inlineStr">
        <is>
          <t>4. Regla de gasto: gratis primero (SITUR/CITUR/Aerocivil/UN Tourism/Google), pago solo quirúrgico: 1 reporte GlobalData o 14 días Brand24 por candidatura.</t>
        </is>
      </c>
    </row>
    <row r="7">
      <c r="A7" s="9" t="inlineStr">
        <is>
          <t>5. Próximo paso sugerido: dashboard Looker Studio con SITUR+CITUR+Aerocivil+Google Trends + pestaña MICE (RFP pipeline).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2" customWidth="1" min="4" max="4"/>
    <col width="55" customWidth="1" min="5" max="5"/>
    <col width="14" customWidth="1" min="6" max="6"/>
    <col width="22" customWidth="1" min="7" max="7"/>
    <col width="22" customWidth="1" min="8" max="8"/>
  </cols>
  <sheetData>
    <row r="1" ht="28" customHeight="1">
      <c r="A1" s="1" t="inlineStr">
        <is>
          <t>Plan de Dashboard por Dirección — Bureau Medellín (Reuniones / Vacacional / Marca)</t>
        </is>
      </c>
    </row>
    <row r="2" ht="30" customHeight="1">
      <c r="A2" s="10" t="inlineStr">
        <is>
          <t>Cada KPI trae fórmula Excel de ejemplo + cómo calcularlo con las bases de la pestaña Matriz | Pegar datos mensuales en columnas B..M por mes y las fórmulas tiran solas</t>
        </is>
      </c>
    </row>
    <row r="3" ht="40" customHeight="1">
      <c r="A3" s="3" t="inlineStr">
        <is>
          <t>Dirección</t>
        </is>
      </c>
      <c r="B3" s="3" t="inlineStr">
        <is>
          <t>Objetivo</t>
        </is>
      </c>
      <c r="C3" s="3" t="inlineStr">
        <is>
          <t>KPI</t>
        </is>
      </c>
      <c r="D3" s="3" t="inlineStr">
        <is>
          <t>Fórmula Excel (ejemplo, copiar)</t>
        </is>
      </c>
      <c r="E3" s="3" t="inlineStr">
        <is>
          <t>Cómo se calcula / Fuentes (ver Matriz)</t>
        </is>
      </c>
      <c r="F3" s="3" t="inlineStr">
        <is>
          <t>Frecuencia</t>
        </is>
      </c>
      <c r="G3" s="3" t="inlineStr">
        <is>
          <t>Meta sugerida 26/27</t>
        </is>
      </c>
      <c r="H3" s="3" t="inlineStr">
        <is>
          <t>Visual sugerido</t>
        </is>
      </c>
    </row>
    <row r="4" ht="48" customHeight="1">
      <c r="A4" s="11" t="inlineStr">
        <is>
          <t>REUNIONES</t>
        </is>
      </c>
      <c r="B4" s="6" t="inlineStr">
        <is>
          <t>Convertir postulaciones en eventos</t>
        </is>
      </c>
      <c r="C4" s="6" t="inlineStr">
        <is>
          <t>Tasa conversión RFP (Win Rate %)</t>
        </is>
      </c>
      <c r="D4" s="6">
        <f>Ganados/Recibidos → ej: =B2/B3</f>
        <v/>
      </c>
      <c r="E4" s="6" t="inlineStr">
        <is>
          <t>CRM interno fila 31: RFP recibidos vs ganados. Fuente: equipo Reuniones + Cvent (fila 28)</t>
        </is>
      </c>
      <c r="F4" s="6" t="inlineStr">
        <is>
          <t>Mensual</t>
        </is>
      </c>
      <c r="G4" s="6" t="inlineStr">
        <is>
          <t>&gt;30%</t>
        </is>
      </c>
      <c r="H4" s="6" t="inlineStr">
        <is>
          <t>Funnel + gauge</t>
        </is>
      </c>
    </row>
    <row r="5" ht="48" customHeight="1">
      <c r="A5" s="11" t="inlineStr">
        <is>
          <t>REUNIONES</t>
        </is>
      </c>
      <c r="B5" s="6" t="inlineStr">
        <is>
          <t>Medir impacto alojamiento</t>
        </is>
      </c>
      <c r="C5" s="6" t="inlineStr">
        <is>
          <t>Noches habitación generadas MICE</t>
        </is>
      </c>
      <c r="D5" s="6">
        <f>Asistentes*%QuePernocta*Estadía → =B4*C4*D4</f>
        <v/>
      </c>
      <c r="E5" s="6" t="inlineStr">
        <is>
          <t>CRM evento: asistentes x % pernocta (SITUR fila 15) x estadía media. Validar con Cotelco/SITUR</t>
        </is>
      </c>
      <c r="F5" s="6" t="inlineStr">
        <is>
          <t>Por evento / mes</t>
        </is>
      </c>
      <c r="G5" s="6" t="inlineStr">
        <is>
          <t>Acumular 120K noches/año</t>
        </is>
      </c>
      <c r="H5" s="6" t="inlineStr">
        <is>
          <t>Barras apiladas por evento</t>
        </is>
      </c>
    </row>
    <row r="6" ht="48" customHeight="1">
      <c r="A6" s="11" t="inlineStr">
        <is>
          <t>REUNIONES</t>
        </is>
      </c>
      <c r="B6" s="6" t="inlineStr">
        <is>
          <t>Cuantificar derrama</t>
        </is>
      </c>
      <c r="C6" s="6" t="inlineStr">
        <is>
          <t>Derrama económica MICE (COP/USD)</t>
        </is>
      </c>
      <c r="D6" s="6">
        <f>Asistentes*GastoProm*Estadía → =B5*C5*D5</f>
        <v/>
      </c>
      <c r="E6" s="6" t="inlineStr">
        <is>
          <t>Asistentes CRM x gasto prom SITUR/CITUR (filas 14-15) x estadía. Separar nacional/internacional</t>
        </is>
      </c>
      <c r="F6" s="6" t="inlineStr">
        <is>
          <t>Por evento / mes</t>
        </is>
      </c>
      <c r="G6" s="6" t="inlineStr">
        <is>
          <t>USD 25M/año</t>
        </is>
      </c>
      <c r="H6" s="6" t="inlineStr">
        <is>
          <t>KPI card + serie</t>
        </is>
      </c>
    </row>
    <row r="7" ht="48" customHeight="1">
      <c r="A7" s="11" t="inlineStr">
        <is>
          <t>REUNIONES</t>
        </is>
      </c>
      <c r="B7" s="6" t="inlineStr">
        <is>
          <t>Internacionalizar destino</t>
        </is>
      </c>
      <c r="C7" s="6" t="inlineStr">
        <is>
          <t>% Asistentes internacionales</t>
        </is>
      </c>
      <c r="D7" s="6">
        <f>Internacionales/Totales → =B6/B7</f>
        <v/>
      </c>
      <c r="E7" s="6" t="inlineStr">
        <is>
          <t>Migración + listas registro evento + ICCA (fila 27) para benchmark</t>
        </is>
      </c>
      <c r="F7" s="6" t="inlineStr">
        <is>
          <t>Por evento</t>
        </is>
      </c>
      <c r="G7" s="6" t="inlineStr">
        <is>
          <t>≥40% en congress</t>
        </is>
      </c>
      <c r="H7" s="6" t="inlineStr">
        <is>
          <t>Donut</t>
        </is>
      </c>
    </row>
    <row r="8" ht="48" customHeight="1">
      <c r="A8" s="11" t="inlineStr">
        <is>
          <t>REUNIONES</t>
        </is>
      </c>
      <c r="B8" s="6" t="inlineStr">
        <is>
          <t>Acortar ciclo comercial</t>
        </is>
      </c>
      <c r="C8" s="6" t="inlineStr">
        <is>
          <t>Lead time captación (meses)</t>
        </is>
      </c>
      <c r="D8" s="6">
        <f>PROMEDIO(FechaEvento-FechaRFP) → =AVERAGE(C8:C100)</f>
        <v/>
      </c>
      <c r="E8" s="6" t="inlineStr">
        <is>
          <t>CRM: fecha RFP vs fecha evento. Alerta si &gt;18 meses pierde tracción</t>
        </is>
      </c>
      <c r="F8" s="6" t="inlineStr">
        <is>
          <t>Trimestral</t>
        </is>
      </c>
      <c r="G8" s="6" t="inlineStr">
        <is>
          <t>&lt;14 meses</t>
        </is>
      </c>
      <c r="H8" s="6" t="inlineStr">
        <is>
          <t>Histograma</t>
        </is>
      </c>
    </row>
    <row r="9" ht="48" customHeight="1">
      <c r="A9" s="11" t="inlineStr">
        <is>
          <t>REUNIONES</t>
        </is>
      </c>
      <c r="B9" s="6" t="inlineStr">
        <is>
          <t>Probar uplift hotelero</t>
        </is>
      </c>
      <c r="C9" s="6" t="inlineStr">
        <is>
          <t>Ocupación incremental evento (p.p.)</t>
        </is>
      </c>
      <c r="D9" s="6">
        <f>OccSemanaEvento-OccSemanaBase → =B9-B10</f>
        <v/>
      </c>
      <c r="E9" s="6" t="inlineStr">
        <is>
          <t>SITUR/Cotelco/DANE (filas 15-16): semana evento vs promedio 4 semanas previas sin evento</t>
        </is>
      </c>
      <c r="F9" s="6" t="inlineStr">
        <is>
          <t>Por evento</t>
        </is>
      </c>
      <c r="G9" s="6" t="inlineStr">
        <is>
          <t xml:space="preserve"> +8 p.p.</t>
        </is>
      </c>
      <c r="H9" s="6" t="inlineStr">
        <is>
          <t>Barras antes/después</t>
        </is>
      </c>
    </row>
    <row r="10" ht="48" customHeight="1">
      <c r="A10" s="11" t="inlineStr">
        <is>
          <t>REUNIONES</t>
        </is>
      </c>
      <c r="B10" s="6" t="inlineStr">
        <is>
          <t>Calidad sede</t>
        </is>
      </c>
      <c r="C10" s="6" t="inlineStr">
        <is>
          <t>NPS organizador / satisfacción</t>
        </is>
      </c>
      <c r="D10" s="6">
        <f>PROMEDIO(Encuesta 0-10) → =AVERAGE(D11:D200)</f>
        <v/>
      </c>
      <c r="E10" s="6" t="inlineStr">
        <is>
          <t>Encuesta post-evento propia (0-10). Meta DMO top: &gt;60</t>
        </is>
      </c>
      <c r="F10" s="6" t="inlineStr">
        <is>
          <t>Por evento</t>
        </is>
      </c>
      <c r="G10" s="6" t="inlineStr">
        <is>
          <t>&gt;60</t>
        </is>
      </c>
      <c r="H10" s="6" t="inlineStr">
        <is>
          <t>Gauge + verbatims</t>
        </is>
      </c>
    </row>
    <row r="11" ht="48" customHeight="1">
      <c r="A11" s="11" t="inlineStr">
        <is>
          <t>REUNIONES</t>
        </is>
      </c>
      <c r="B11" s="6" t="inlineStr">
        <is>
          <t>Diferenciador legado</t>
        </is>
      </c>
      <c r="C11" s="6" t="inlineStr">
        <is>
          <t>Índice Legado (0-100)</t>
        </is>
      </c>
      <c r="D11" s="6">
        <f>0.4*Social+0.3*Ambiental+0.3*Económico</f>
        <v/>
      </c>
      <c r="E11" s="6" t="inlineStr">
        <is>
          <t>Social: empleos/beneficiarios, Ambiental: CO2 compensado, Económico: proveeduría local. GSTC + aporte Wompi</t>
        </is>
      </c>
      <c r="F11" s="6" t="inlineStr">
        <is>
          <t>Por evento</t>
        </is>
      </c>
      <c r="G11" s="6" t="inlineStr">
        <is>
          <t>&gt;70</t>
        </is>
      </c>
      <c r="H11" s="6" t="inlineStr">
        <is>
          <t>Radar</t>
        </is>
      </c>
    </row>
    <row r="12" ht="48" customHeight="1">
      <c r="A12" s="11" t="inlineStr">
        <is>
          <t>REUNIONES</t>
        </is>
      </c>
      <c r="B12" s="6" t="inlineStr">
        <is>
          <t>Posicionamiento global</t>
        </is>
      </c>
      <c r="C12" s="6" t="inlineStr">
        <is>
          <t>Ranking ICCA ciudad + Nº reuniones</t>
        </is>
      </c>
      <c r="D12" s="6" t="inlineStr">
        <is>
          <t>Directo tabla ICCA</t>
        </is>
      </c>
      <c r="E12" s="6" t="inlineStr">
        <is>
          <t>ICCA stats fila 27 anual. Comparar vs Bogotá/Lima/Cartagena</t>
        </is>
      </c>
      <c r="F12" s="6" t="inlineStr">
        <is>
          <t>Anual</t>
        </is>
      </c>
      <c r="G12" s="6" t="inlineStr">
        <is>
          <t>Top 3 Latam</t>
        </is>
      </c>
      <c r="H12" s="6" t="inlineStr">
        <is>
          <t>Tabla ranking + trend</t>
        </is>
      </c>
    </row>
    <row r="13" ht="48" customHeight="1">
      <c r="A13" s="11" t="inlineStr">
        <is>
          <t>REUNIONES</t>
        </is>
      </c>
      <c r="B13" s="6" t="inlineStr">
        <is>
          <t>Previsibilidad</t>
        </is>
      </c>
      <c r="C13" s="6" t="inlineStr">
        <is>
          <t>Pipeline ponderado (USD)</t>
        </is>
      </c>
      <c r="D13" s="6">
        <f>SUMA(ValorRFP*Prob) → =SUMPRODUCT(B12:B30,C12:C30)</f>
        <v/>
      </c>
      <c r="E13" s="6" t="inlineStr">
        <is>
          <t>CRM: valor estimado x probabilidad (30/60/90%). Revisión quincenal equipo</t>
        </is>
      </c>
      <c r="F13" s="6" t="inlineStr">
        <is>
          <t>Quincenal</t>
        </is>
      </c>
      <c r="G13" s="6" t="inlineStr">
        <is>
          <t>3x meta anual</t>
        </is>
      </c>
      <c r="H13" s="6" t="inlineStr">
        <is>
          <t>Funnel por etapa</t>
        </is>
      </c>
    </row>
    <row r="14" ht="48" customHeight="1">
      <c r="A14" s="12" t="inlineStr">
        <is>
          <t>VACACIONAL</t>
        </is>
      </c>
      <c r="B14" s="6" t="inlineStr">
        <is>
          <t>Crecer demanda</t>
        </is>
      </c>
      <c r="C14" s="6" t="inlineStr">
        <is>
          <t>Llegadas internacionales a MDE</t>
        </is>
      </c>
      <c r="D14" s="6">
        <f>SUMA(Mes) / =B13- B13prev</f>
        <v/>
      </c>
      <c r="E14" s="6" t="inlineStr">
        <is>
          <t>Migración Colombia (13) + Aerocivil (17) + CITUR (14). Desagregar por nacionalidad/puerto</t>
        </is>
      </c>
      <c r="F14" s="6" t="inlineStr">
        <is>
          <t>Mensual</t>
        </is>
      </c>
      <c r="G14" s="6" t="inlineStr">
        <is>
          <t>+12% YoY</t>
        </is>
      </c>
      <c r="H14" s="6" t="inlineStr">
        <is>
          <t>Serie + mapa origen</t>
        </is>
      </c>
    </row>
    <row r="15" ht="48" customHeight="1">
      <c r="A15" s="12" t="inlineStr">
        <is>
          <t>VACACIONAL</t>
        </is>
      </c>
      <c r="B15" s="6" t="inlineStr">
        <is>
          <t>Alargar estadía</t>
        </is>
      </c>
      <c r="C15" s="6" t="inlineStr">
        <is>
          <t>Estadía promedio (noches)</t>
        </is>
      </c>
      <c r="D15" s="6">
        <f>PROMEDIO(Noches) → =AVERAGE(D14:D500)</f>
        <v/>
      </c>
      <c r="E15" s="6" t="inlineStr">
        <is>
          <t>Encuesta SITUR (15) + App Medellín Travel. Segmentar MICE vs vacacional</t>
        </is>
      </c>
      <c r="F15" s="6" t="inlineStr">
        <is>
          <t>Mensual</t>
        </is>
      </c>
      <c r="G15" s="6" t="inlineStr">
        <is>
          <t>4.2 → 5.0 noches</t>
        </is>
      </c>
      <c r="H15" s="6" t="inlineStr">
        <is>
          <t>Serie</t>
        </is>
      </c>
    </row>
    <row r="16" ht="48" customHeight="1">
      <c r="A16" s="12" t="inlineStr">
        <is>
          <t>VACACIONAL</t>
        </is>
      </c>
      <c r="B16" s="6" t="inlineStr">
        <is>
          <t>Elevar gasto</t>
        </is>
      </c>
      <c r="C16" s="6" t="inlineStr">
        <is>
          <t>Gasto promedio viajero/día (USD)</t>
        </is>
      </c>
      <c r="D16" s="6">
        <f>GastoTotal/Días → =B15/C15</f>
        <v/>
      </c>
      <c r="E16" s="6" t="inlineStr">
        <is>
          <t>SITUR gasto por rubro (alojamiento/gastro/compras). Foco en alto gasto: lujo/experiencias</t>
        </is>
      </c>
      <c r="F16" s="6" t="inlineStr">
        <is>
          <t>Mensual</t>
        </is>
      </c>
      <c r="G16" s="6" t="inlineStr">
        <is>
          <t>USD 120/día</t>
        </is>
      </c>
      <c r="H16" s="6" t="inlineStr">
        <is>
          <t>Barras por rubro</t>
        </is>
      </c>
    </row>
    <row r="17" ht="48" customHeight="1">
      <c r="A17" s="12" t="inlineStr">
        <is>
          <t>VACACIONAL</t>
        </is>
      </c>
      <c r="B17" s="6" t="inlineStr">
        <is>
          <t>Ocupación sana</t>
        </is>
      </c>
      <c r="C17" s="6" t="inlineStr">
        <is>
          <t>Ocupación hotelera %</t>
        </is>
      </c>
      <c r="D17" s="6" t="inlineStr">
        <is>
          <t>Directo SITUR/Cotelco</t>
        </is>
      </c>
      <c r="E17" s="6" t="inlineStr">
        <is>
          <t>SITUR (15) + DANE MMH (16). Cruzar con eventos ciudad para explicar picos</t>
        </is>
      </c>
      <c r="F17" s="6" t="inlineStr">
        <is>
          <t>Mensual</t>
        </is>
      </c>
      <c r="G17" s="6" t="inlineStr">
        <is>
          <t>&gt;68%</t>
        </is>
      </c>
      <c r="H17" s="6" t="inlineStr">
        <is>
          <t>Heatmap semana</t>
        </is>
      </c>
    </row>
    <row r="18" ht="48" customHeight="1">
      <c r="A18" s="12" t="inlineStr">
        <is>
          <t>VACACIONAL</t>
        </is>
      </c>
      <c r="B18" s="6" t="inlineStr">
        <is>
          <t>Rentabilidad hotelera</t>
        </is>
      </c>
      <c r="C18" s="6" t="inlineStr">
        <is>
          <t>ADR proxy + RevPAR proxy</t>
        </is>
      </c>
      <c r="D18" s="6">
        <f>RevPAR=Occ*ADR → =B16*C16</f>
        <v/>
      </c>
      <c r="E18" s="6" t="inlineStr">
        <is>
          <t>ADR Cotelco/SITUR x Ocupación. Si no hay STR pago, usar este proxy</t>
        </is>
      </c>
      <c r="F18" s="6" t="inlineStr">
        <is>
          <t>Mensual</t>
        </is>
      </c>
      <c r="G18" s="6" t="inlineStr">
        <is>
          <t>RevPAR +10%</t>
        </is>
      </c>
      <c r="H18" s="6" t="inlineStr">
        <is>
          <t>Doble eje</t>
        </is>
      </c>
    </row>
    <row r="19" ht="48" customHeight="1">
      <c r="A19" s="12" t="inlineStr">
        <is>
          <t>VACACIONAL</t>
        </is>
      </c>
      <c r="B19" s="6" t="inlineStr">
        <is>
          <t>Foco mercados</t>
        </is>
      </c>
      <c r="C19" s="6" t="inlineStr">
        <is>
          <t>Share top 5 emisores %</t>
        </is>
      </c>
      <c r="D19" s="6">
        <f>Top5/Total → =SUM(B17:F17)/B18</f>
        <v/>
      </c>
      <c r="E19" s="6" t="inlineStr">
        <is>
          <t>Migración (13) + Google Destination Insights (21). USA, España, México, Panamá, Perú</t>
        </is>
      </c>
      <c r="F19" s="6" t="inlineStr">
        <is>
          <t>Mensual</t>
        </is>
      </c>
      <c r="G19" s="6" t="inlineStr">
        <is>
          <t>Top3 = 60%</t>
        </is>
      </c>
      <c r="H19" s="6" t="inlineStr">
        <is>
          <t>Treemap</t>
        </is>
      </c>
    </row>
    <row r="20" ht="48" customHeight="1">
      <c r="A20" s="12" t="inlineStr">
        <is>
          <t>VACACIONAL</t>
        </is>
      </c>
      <c r="B20" s="6" t="inlineStr">
        <is>
          <t>Anticipar demanda</t>
        </is>
      </c>
      <c r="C20" s="6" t="inlineStr">
        <is>
          <t>Índice intención Google (0-100)</t>
        </is>
      </c>
      <c r="D20" s="6">
        <f>Índice Trends semana</f>
        <v/>
      </c>
      <c r="E20" s="6" t="inlineStr">
        <is>
          <t>Google Trends (20) keyword 'Medellín vuelos/hoteles' + Destination Insights (21) por origen</t>
        </is>
      </c>
      <c r="F20" s="6" t="inlineStr">
        <is>
          <t>Semanal</t>
        </is>
      </c>
      <c r="G20" s="6" t="inlineStr">
        <is>
          <t>Alerta si -15% WoW</t>
        </is>
      </c>
      <c r="H20" s="6" t="inlineStr">
        <is>
          <t>Serie vs llegadas real</t>
        </is>
      </c>
    </row>
    <row r="21" ht="48" customHeight="1">
      <c r="A21" s="12" t="inlineStr">
        <is>
          <t>VACACIONAL</t>
        </is>
      </c>
      <c r="B21" s="6" t="inlineStr">
        <is>
          <t>Convertir digital</t>
        </is>
      </c>
      <c r="C21" s="6" t="inlineStr">
        <is>
          <t>Conversión web Visit Medellín %</t>
        </is>
      </c>
      <c r="D21" s="6">
        <f>Reservas/Visitas → =B19/B20</f>
        <v/>
      </c>
      <c r="E21" s="6" t="inlineStr">
        <is>
          <t>Analytics medellin.travel + visitmedellin.co (filas 29-30): visitas → clic a aliado/reserva</t>
        </is>
      </c>
      <c r="F21" s="6" t="inlineStr">
        <is>
          <t>Mensual</t>
        </is>
      </c>
      <c r="G21" s="6" t="inlineStr">
        <is>
          <t>&gt;3.5%</t>
        </is>
      </c>
      <c r="H21" s="6" t="inlineStr">
        <is>
          <t>Funnel</t>
        </is>
      </c>
    </row>
    <row r="22" ht="48" customHeight="1">
      <c r="A22" s="12" t="inlineStr">
        <is>
          <t>VACACIONAL</t>
        </is>
      </c>
      <c r="B22" s="6" t="inlineStr">
        <is>
          <t>Experiencia</t>
        </is>
      </c>
      <c r="C22" s="6" t="inlineStr">
        <is>
          <t>NPS destino / satisfacción</t>
        </is>
      </c>
      <c r="D22" s="6">
        <f>PROMEDIO(Encuesta PITS/App)</f>
        <v/>
      </c>
      <c r="E22" s="6" t="inlineStr">
        <is>
          <t>PITS + App + TripAdvisor rating medio. Desagregar seguridad, clima, hospitalidad</t>
        </is>
      </c>
      <c r="F22" s="6" t="inlineStr">
        <is>
          <t>Mensual</t>
        </is>
      </c>
      <c r="G22" s="6" t="inlineStr">
        <is>
          <t>&gt;75</t>
        </is>
      </c>
      <c r="H22" s="6" t="inlineStr">
        <is>
          <t>Gauge + nube temas</t>
        </is>
      </c>
    </row>
    <row r="23" ht="48" customHeight="1">
      <c r="A23" s="12" t="inlineStr">
        <is>
          <t>VACACIONAL</t>
        </is>
      </c>
      <c r="B23" s="6" t="inlineStr">
        <is>
          <t>Desestacionalizar</t>
        </is>
      </c>
      <c r="C23" s="6" t="inlineStr">
        <is>
          <t>Índice estacionalidad (Gini mensual)</t>
        </is>
      </c>
      <c r="D23" s="6">
        <f>DESVEST(Meses)/PROMEDIO(Meses)</f>
        <v/>
      </c>
      <c r="E23" s="6" t="inlineStr">
        <is>
          <t>Llegadas 12 meses CITUR/Migración. Baja = demanda pareja todo el año (Feria Flores compensa)</t>
        </is>
      </c>
      <c r="F23" s="6" t="inlineStr">
        <is>
          <t>Anual</t>
        </is>
      </c>
      <c r="G23" s="6" t="inlineStr">
        <is>
          <t>Gini &lt;0.15</t>
        </is>
      </c>
      <c r="H23" s="6" t="inlineStr">
        <is>
          <t>Radar 12 meses</t>
        </is>
      </c>
    </row>
    <row r="24" ht="48" customHeight="1">
      <c r="A24" s="13" t="inlineStr">
        <is>
          <t>MARCA</t>
        </is>
      </c>
      <c r="B24" s="6" t="inlineStr">
        <is>
          <t>Ser escuchados</t>
        </is>
      </c>
      <c r="C24" s="6" t="inlineStr">
        <is>
          <t>Share of Voice vs competidores %</t>
        </is>
      </c>
      <c r="D24" s="6">
        <f>MencionesMed/MencionesTotal → =B21/C21</f>
        <v/>
      </c>
      <c r="E24" s="6" t="inlineStr">
        <is>
          <t>Alerts (23-24) + Social Searcher (25): Medellín vs Bogotá/Cartagena/Lima. Brand24 puntual (6) para validar</t>
        </is>
      </c>
      <c r="F24" s="6" t="inlineStr">
        <is>
          <t>Semanal</t>
        </is>
      </c>
      <c r="G24" s="6" t="inlineStr">
        <is>
          <t>&gt;35% región</t>
        </is>
      </c>
      <c r="H24" s="6" t="inlineStr">
        <is>
          <t>Barras 4 ciudades</t>
        </is>
      </c>
    </row>
    <row r="25" ht="48" customHeight="1">
      <c r="A25" s="13" t="inlineStr">
        <is>
          <t>MARCA</t>
        </is>
      </c>
      <c r="B25" s="6" t="inlineStr">
        <is>
          <t>Sentimiento sano</t>
        </is>
      </c>
      <c r="C25" s="6" t="inlineStr">
        <is>
          <t>Sentimiento neto</t>
        </is>
      </c>
      <c r="D25" s="6">
        <f>(Pos-Neg)/Total → =(B22-C22)/D22</f>
        <v/>
      </c>
      <c r="E25" s="6" t="inlineStr">
        <is>
          <t>Mismo set escucha. Neto -100 a +100. Alerta crisis si cae &gt;10 pts semana</t>
        </is>
      </c>
      <c r="F25" s="6" t="inlineStr">
        <is>
          <t>Semanal</t>
        </is>
      </c>
      <c r="G25" s="6" t="inlineStr">
        <is>
          <t>&gt;+40</t>
        </is>
      </c>
      <c r="H25" s="6" t="inlineStr">
        <is>
          <t>Serie + alertas</t>
        </is>
      </c>
    </row>
    <row r="26" ht="48" customHeight="1">
      <c r="A26" s="13" t="inlineStr">
        <is>
          <t>MARCA</t>
        </is>
      </c>
      <c r="B26" s="6" t="inlineStr">
        <is>
          <t>Alcance</t>
        </is>
      </c>
      <c r="C26" s="6" t="inlineStr">
        <is>
          <t>Reach + Menciones</t>
        </is>
      </c>
      <c r="D26" s="6">
        <f>SUMA(Menciones) / =SUMA(Reach)</f>
        <v/>
      </c>
      <c r="E26" s="6" t="inlineStr">
        <is>
          <t>Alerts + Meta/TikTok (22,26). Separar orgánico vs pauta</t>
        </is>
      </c>
      <c r="F26" s="6" t="inlineStr">
        <is>
          <t>Semanal</t>
        </is>
      </c>
      <c r="G26" s="6" t="inlineStr">
        <is>
          <t>+20% QoQ</t>
        </is>
      </c>
      <c r="H26" s="6" t="inlineStr">
        <is>
          <t>Doble eje</t>
        </is>
      </c>
    </row>
    <row r="27" ht="48" customHeight="1">
      <c r="A27" s="13" t="inlineStr">
        <is>
          <t>MARCA</t>
        </is>
      </c>
      <c r="B27" s="6" t="inlineStr">
        <is>
          <t>Comunidad activa</t>
        </is>
      </c>
      <c r="C27" s="6" t="inlineStr">
        <is>
          <t>Engagement rate %</t>
        </is>
      </c>
      <c r="D27" s="6">
        <f>Interacciones/Alcance → =B23/C23</f>
        <v/>
      </c>
      <c r="E27" s="6" t="inlineStr">
        <is>
          <t>IG/TikTok/YT/FB Bureau. Benchmark DMO: 2-4%</t>
        </is>
      </c>
      <c r="F27" s="6" t="inlineStr">
        <is>
          <t>Mensual</t>
        </is>
      </c>
      <c r="G27" s="6" t="inlineStr">
        <is>
          <t>&gt;3%</t>
        </is>
      </c>
      <c r="H27" s="6" t="inlineStr">
        <is>
          <t>Tabla por red</t>
        </is>
      </c>
    </row>
    <row r="28" ht="48" customHeight="1">
      <c r="A28" s="13" t="inlineStr">
        <is>
          <t>MARCA</t>
        </is>
      </c>
      <c r="B28" s="6" t="inlineStr">
        <is>
          <t>Ser encontrados</t>
        </is>
      </c>
      <c r="C28" s="6" t="inlineStr">
        <is>
          <t>Tráfico orgánico + Keywords Top3</t>
        </is>
      </c>
      <c r="D28" s="6" t="inlineStr">
        <is>
          <t>Directo Search Console</t>
        </is>
      </c>
      <c r="E28" s="6" t="inlineStr">
        <is>
          <t>SEO medellin.travel (29): sesiones orgánicas, nº keywords top3 'qué hacer Medellín'</t>
        </is>
      </c>
      <c r="F28" s="6" t="inlineStr">
        <is>
          <t>Mensual</t>
        </is>
      </c>
      <c r="G28" s="6" t="inlineStr">
        <is>
          <t>+25% YoY</t>
        </is>
      </c>
      <c r="H28" s="6" t="inlineStr">
        <is>
          <t>Serie + tabla KW</t>
        </is>
      </c>
    </row>
    <row r="29" ht="48" customHeight="1">
      <c r="A29" s="13" t="inlineStr">
        <is>
          <t>MARCA</t>
        </is>
      </c>
      <c r="B29" s="6" t="inlineStr">
        <is>
          <t>Pauta eficiente</t>
        </is>
      </c>
      <c r="C29" s="6" t="inlineStr">
        <is>
          <t>CPA / ROAS pauta</t>
        </is>
      </c>
      <c r="D29" s="6">
        <f>Inversión/Conversiones → =B24/C24</f>
        <v/>
      </c>
      <c r="E29" s="6" t="inlineStr">
        <is>
          <t>Google/Meta Ads equipo digital. Conversión = clic a aliado/RFP</t>
        </is>
      </c>
      <c r="F29" s="6" t="inlineStr">
        <is>
          <t>Mensual</t>
        </is>
      </c>
      <c r="G29" s="6" t="inlineStr">
        <is>
          <t>CPA -15%</t>
        </is>
      </c>
      <c r="H29" s="6" t="inlineStr">
        <is>
          <t>KPI + serie</t>
        </is>
      </c>
    </row>
    <row r="30" ht="48" customHeight="1">
      <c r="A30" s="13" t="inlineStr">
        <is>
          <t>MARCA</t>
        </is>
      </c>
      <c r="B30" s="6" t="inlineStr">
        <is>
          <t>Apropiación territorio</t>
        </is>
      </c>
      <c r="C30" s="6" t="inlineStr">
        <is>
          <t>Licenciamientos Marca Ciudad activos</t>
        </is>
      </c>
      <c r="D30" s="6">
        <f>CONTAR(Activos)</f>
        <v/>
      </c>
      <c r="E30" s="6" t="inlineStr">
        <is>
          <t>Registro Marca (equipo Daniel Aguirre): licencias, merch, aliados. Meta apropiación</t>
        </is>
      </c>
      <c r="F30" s="6" t="inlineStr">
        <is>
          <t>Trimestral</t>
        </is>
      </c>
      <c r="G30" s="6" t="inlineStr">
        <is>
          <t>+30 lic/año</t>
        </is>
      </c>
      <c r="H30" s="6" t="inlineStr">
        <is>
          <t>Mapa aliados</t>
        </is>
      </c>
    </row>
    <row r="31" ht="48" customHeight="1">
      <c r="A31" s="13" t="inlineStr">
        <is>
          <t>MARCA</t>
        </is>
      </c>
      <c r="B31" s="6" t="inlineStr">
        <is>
          <t>Medios ganados</t>
        </is>
      </c>
      <c r="C31" s="6" t="inlineStr">
        <is>
          <t>AVE (USD equivalencia)</t>
        </is>
      </c>
      <c r="D31" s="6">
        <f>SUMA(ValorPublicitario)</f>
        <v/>
      </c>
      <c r="E31" s="6" t="inlineStr">
        <is>
          <t>Clipping prensa + eventos. Proxy: tarifa pauta equivalente</t>
        </is>
      </c>
      <c r="F31" s="6" t="inlineStr">
        <is>
          <t>Mensual</t>
        </is>
      </c>
      <c r="G31" s="6" t="inlineStr">
        <is>
          <t>USD 2M/año</t>
        </is>
      </c>
      <c r="H31" s="6" t="inlineStr">
        <is>
          <t>Barras por hito</t>
        </is>
      </c>
    </row>
    <row r="32" ht="48" customHeight="1">
      <c r="A32" s="13" t="inlineStr">
        <is>
          <t>MARCA</t>
        </is>
      </c>
      <c r="B32" s="6" t="inlineStr">
        <is>
          <t>Objeción #1</t>
        </is>
      </c>
      <c r="C32" s="6" t="inlineStr">
        <is>
          <t>Percepción seguridad (proxy)</t>
        </is>
      </c>
      <c r="D32" s="6">
        <f>PosSeg/TotalSeg</f>
        <v/>
      </c>
      <c r="E32" s="6" t="inlineStr">
        <is>
          <t>Escucha 'Medellín seguro/inseguro' + Policía Turismo + reviews. Cruzar con ocupación real</t>
        </is>
      </c>
      <c r="F32" s="6" t="inlineStr">
        <is>
          <t>Mensual</t>
        </is>
      </c>
      <c r="G32" s="6" t="inlineStr">
        <is>
          <t>Mejorar 10 pts/año</t>
        </is>
      </c>
      <c r="H32" s="6" t="inlineStr">
        <is>
          <t>Serie sentimiento</t>
        </is>
      </c>
    </row>
    <row r="33" ht="48" customHeight="1">
      <c r="A33" s="13" t="inlineStr">
        <is>
          <t>MARCA</t>
        </is>
      </c>
      <c r="B33" s="6" t="inlineStr">
        <is>
          <t>Eventos que marcan</t>
        </is>
      </c>
      <c r="C33" s="6" t="inlineStr">
        <is>
          <t>Uplift reputacional evento</t>
        </is>
      </c>
      <c r="D33" s="6">
        <f>SentPost-SentPre → =B25-B26</f>
        <v/>
      </c>
      <c r="E33" s="6" t="inlineStr">
        <is>
          <t>Ventana 7 días antes/después Feria Flores, Ritvales, Stella Awards. Prueba legado comunicacional</t>
        </is>
      </c>
      <c r="F33" s="6" t="inlineStr">
        <is>
          <t>Por evento</t>
        </is>
      </c>
      <c r="G33" s="6" t="inlineStr">
        <is>
          <t xml:space="preserve"> +15 pts</t>
        </is>
      </c>
      <c r="H33" s="6" t="inlineStr">
        <is>
          <t>Antes/después</t>
        </is>
      </c>
    </row>
  </sheetData>
  <autoFilter ref="A3:H33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2026-10-27T18:30:36Z</dcterms:created>
  <dcterms:modified xmlns:dcterms="http://purl.org/dc/terms/" xmlns:xsi="http://www.w3.org/2001/XMLSchema-instance" xsi:type="dcterms:W3CDTF">2026-10-27T18:34:20Z</dcterms:modified>
</cp:coreProperties>
</file>